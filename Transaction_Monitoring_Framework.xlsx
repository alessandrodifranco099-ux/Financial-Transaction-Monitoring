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updateLinks="always" defaultThemeVersion="166925"/>
  <xr:revisionPtr revIDLastSave="0" documentId="8_{B92B256E-489D-4010-8887-25E532B255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3" r:id="rId1"/>
    <sheet name="Regole" sheetId="2" r:id="rId2"/>
    <sheet name="Transazioni" sheetId="1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3" l="1"/>
  <c r="E5" i="3"/>
  <c r="E4" i="3"/>
  <c r="B9" i="3"/>
  <c r="B8" i="3"/>
  <c r="B7" i="3"/>
  <c r="B6" i="3"/>
  <c r="B5" i="3"/>
  <c r="B4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K3" i="1" s="1"/>
  <c r="L3" i="1" s="1"/>
  <c r="M3" i="1" s="1"/>
  <c r="H4" i="1"/>
  <c r="K4" i="1" s="1"/>
  <c r="L4" i="1" s="1"/>
  <c r="M4" i="1" s="1"/>
  <c r="H5" i="1"/>
  <c r="K5" i="1" s="1"/>
  <c r="L5" i="1" s="1"/>
  <c r="M5" i="1" s="1"/>
  <c r="H6" i="1"/>
  <c r="K6" i="1" s="1"/>
  <c r="L6" i="1" s="1"/>
  <c r="M6" i="1" s="1"/>
  <c r="H7" i="1"/>
  <c r="K7" i="1" s="1"/>
  <c r="L7" i="1" s="1"/>
  <c r="M7" i="1" s="1"/>
  <c r="H8" i="1"/>
  <c r="K8" i="1" s="1"/>
  <c r="L8" i="1" s="1"/>
  <c r="M8" i="1" s="1"/>
  <c r="H9" i="1"/>
  <c r="K9" i="1" s="1"/>
  <c r="L9" i="1" s="1"/>
  <c r="M9" i="1" s="1"/>
  <c r="H10" i="1"/>
  <c r="K10" i="1" s="1"/>
  <c r="L10" i="1" s="1"/>
  <c r="M10" i="1" s="1"/>
  <c r="H11" i="1"/>
  <c r="K11" i="1" s="1"/>
  <c r="L11" i="1" s="1"/>
  <c r="M11" i="1" s="1"/>
  <c r="H12" i="1"/>
  <c r="K12" i="1" s="1"/>
  <c r="L12" i="1" s="1"/>
  <c r="M12" i="1" s="1"/>
  <c r="H13" i="1"/>
  <c r="K13" i="1" s="1"/>
  <c r="L13" i="1" s="1"/>
  <c r="M13" i="1" s="1"/>
  <c r="H14" i="1"/>
  <c r="K14" i="1" s="1"/>
  <c r="L14" i="1" s="1"/>
  <c r="M14" i="1" s="1"/>
  <c r="H15" i="1"/>
  <c r="K15" i="1" s="1"/>
  <c r="L15" i="1" s="1"/>
  <c r="M15" i="1" s="1"/>
  <c r="H16" i="1"/>
  <c r="K16" i="1" s="1"/>
  <c r="L16" i="1" s="1"/>
  <c r="M16" i="1" s="1"/>
  <c r="H2" i="1"/>
  <c r="K2" i="1" s="1"/>
  <c r="L2" i="1" s="1"/>
  <c r="M2" i="1" s="1"/>
</calcChain>
</file>

<file path=xl/sharedStrings.xml><?xml version="1.0" encoding="utf-8"?>
<sst xmlns="http://schemas.openxmlformats.org/spreadsheetml/2006/main" count="113" uniqueCount="81">
  <si>
    <t>TRANSACTION MONITORING - EXECUTIVE KPI</t>
  </si>
  <si>
    <t>Metrica</t>
  </si>
  <si>
    <t>Valore</t>
  </si>
  <si>
    <t>Livello Rischio</t>
  </si>
  <si>
    <t>Conteggio</t>
  </si>
  <si>
    <t>Totale Transazioni Monitorate</t>
  </si>
  <si>
    <t>Alto</t>
  </si>
  <si>
    <t>Volume Totale Transato</t>
  </si>
  <si>
    <t>Medio</t>
  </si>
  <si>
    <t>Operazioni ad Alto Rischio</t>
  </si>
  <si>
    <t>Basso</t>
  </si>
  <si>
    <t>Operazioni a Medio Rischio</t>
  </si>
  <si>
    <t>Operazioni Regolari</t>
  </si>
  <si>
    <t>Tasso di Anomalia</t>
  </si>
  <si>
    <t xml:space="preserve"> </t>
  </si>
  <si>
    <t>Paese_Rischio</t>
  </si>
  <si>
    <t>Parametro</t>
  </si>
  <si>
    <t>IRN</t>
  </si>
  <si>
    <t>Soglia_Importo_Alto</t>
  </si>
  <si>
    <t>PRK</t>
  </si>
  <si>
    <t>Soglia_Frazionamento</t>
  </si>
  <si>
    <t>RUS</t>
  </si>
  <si>
    <t>SYR</t>
  </si>
  <si>
    <t>CYM</t>
  </si>
  <si>
    <t>ID_Transazione</t>
  </si>
  <si>
    <t>Data</t>
  </si>
  <si>
    <t>ID_Cliente</t>
  </si>
  <si>
    <t>Tipo_Operazione</t>
  </si>
  <si>
    <t>Importo</t>
  </si>
  <si>
    <t>Paese_Controparte</t>
  </si>
  <si>
    <t>Canale</t>
  </si>
  <si>
    <t>Controllo_Soglia</t>
  </si>
  <si>
    <t>Controllo_Frazionato</t>
  </si>
  <si>
    <t>Controllo_Paese_Rischio</t>
  </si>
  <si>
    <t>Punteggio_Rischio</t>
  </si>
  <si>
    <t>Livello_Rischio</t>
  </si>
  <si>
    <t>Azione_Richiesta</t>
  </si>
  <si>
    <t>TRX001</t>
  </si>
  <si>
    <t>CLI101</t>
  </si>
  <si>
    <t>Bonifico</t>
  </si>
  <si>
    <t>ITA</t>
  </si>
  <si>
    <t>Web</t>
  </si>
  <si>
    <t>TRX002</t>
  </si>
  <si>
    <t>CLI102</t>
  </si>
  <si>
    <t>POS</t>
  </si>
  <si>
    <t>TRX003</t>
  </si>
  <si>
    <t>CLI103</t>
  </si>
  <si>
    <t>DEU</t>
  </si>
  <si>
    <t>Filiale</t>
  </si>
  <si>
    <t>TRX004</t>
  </si>
  <si>
    <t>CLI104</t>
  </si>
  <si>
    <t>Versamento Contanti</t>
  </si>
  <si>
    <t>ATM</t>
  </si>
  <si>
    <t>TRX005</t>
  </si>
  <si>
    <t>CLI105</t>
  </si>
  <si>
    <t>TRX006</t>
  </si>
  <si>
    <t>CLI106</t>
  </si>
  <si>
    <t>Prelievo</t>
  </si>
  <si>
    <t>TRX007</t>
  </si>
  <si>
    <t>CLI107</t>
  </si>
  <si>
    <t>TRX008</t>
  </si>
  <si>
    <t>CLI108</t>
  </si>
  <si>
    <t>FRA</t>
  </si>
  <si>
    <t>App</t>
  </si>
  <si>
    <t>TRX009</t>
  </si>
  <si>
    <t>CLI109</t>
  </si>
  <si>
    <t>ESP</t>
  </si>
  <si>
    <t>TRX010</t>
  </si>
  <si>
    <t>CLI110</t>
  </si>
  <si>
    <t>TRX011</t>
  </si>
  <si>
    <t>CLI111</t>
  </si>
  <si>
    <t>TRX012</t>
  </si>
  <si>
    <t>CLI112</t>
  </si>
  <si>
    <t>TRX013</t>
  </si>
  <si>
    <t>CLI113</t>
  </si>
  <si>
    <t>NLD</t>
  </si>
  <si>
    <t>TRX014</t>
  </si>
  <si>
    <t>CLI114</t>
  </si>
  <si>
    <t>TRX015</t>
  </si>
  <si>
    <t>CLI115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</si>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</sst>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e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 del Rischio Operativo</a:t>
            </a:r>
          </a:p>
        </c:rich>
      </c:tx>
      <c:overlay val="0"/>
      <c:spPr>
        <a:noFill/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Dashboard!$E$3</c:f>
              <c:strCache>
                <c:ptCount val="1"/>
                <c:pt idx="0">
                  <c:v>Conteggio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Dashboard!$D$4:$D$6</c:f>
              <c:strCache>
                <c:ptCount val="3"/>
                <c:pt idx="0">
                  <c:v>Alto</c:v>
                </c:pt>
                <c:pt idx="1">
                  <c:v>Medio</c:v>
                </c:pt>
                <c:pt idx="2">
                  <c:v>Basso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9-4248-9A47-E9937C0D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9</xdr:row>
      <xdr:rowOff>171450</xdr:rowOff>
    </xdr:from>
    <xdr:to>
      <xdr:col>4</xdr:col>
      <xdr:colOff>419100</xdr:colOff>
      <xdr:row>24</xdr:row>
      <xdr:rowOff>171450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28FD89E-CD6D-AA0B-4BB1-5AABBA69D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o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ol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F9A4-ABD0-4D8D-94C5-DFA026015FB3}">
  <dimension ref="A1:G9"/>
  <sheetViews>
    <sheetView tabSelected="1" workbookViewId="0">
      <selection activeCell="G14" sqref="G14"/>
    </sheetView>
  </sheetViews>
  <sheetFormatPr defaultRowHeight="15"/>
  <cols>
    <col min="1" max="1" width="42.85546875" style="1" bestFit="1" customWidth="1"/>
    <col min="2" max="2" width="11.42578125" style="1" bestFit="1" customWidth="1"/>
    <col min="3" max="3" width="9.140625" style="1"/>
    <col min="4" max="4" width="13.42578125" style="1" bestFit="1" customWidth="1"/>
    <col min="5" max="5" width="10" style="1" bestFit="1" customWidth="1"/>
    <col min="6" max="16384" width="9.140625" style="1"/>
  </cols>
  <sheetData>
    <row r="1" spans="1:7">
      <c r="A1" s="4" t="s">
        <v>0</v>
      </c>
    </row>
    <row r="3" spans="1:7">
      <c r="A3" s="2" t="s">
        <v>1</v>
      </c>
      <c r="B3" s="1" t="s">
        <v>2</v>
      </c>
      <c r="D3" s="1" t="s">
        <v>3</v>
      </c>
      <c r="E3" s="1" t="s">
        <v>4</v>
      </c>
    </row>
    <row r="4" spans="1:7">
      <c r="A4" s="2" t="s">
        <v>5</v>
      </c>
      <c r="B4" s="1">
        <f>COUNTA(Transazioni!A2:A16)</f>
        <v>15</v>
      </c>
      <c r="D4" s="1" t="s">
        <v>6</v>
      </c>
      <c r="E4" s="1">
        <f>B6</f>
        <v>3</v>
      </c>
    </row>
    <row r="5" spans="1:7">
      <c r="A5" s="2" t="s">
        <v>7</v>
      </c>
      <c r="B5" s="5">
        <f>SUM(Transazioni!E2:E16)</f>
        <v>98415</v>
      </c>
      <c r="D5" s="1" t="s">
        <v>8</v>
      </c>
      <c r="E5" s="1">
        <f>B7</f>
        <v>5</v>
      </c>
    </row>
    <row r="6" spans="1:7">
      <c r="A6" s="2" t="s">
        <v>9</v>
      </c>
      <c r="B6" s="1">
        <f>COUNTIF(Transazioni!M2:M16, "Blocco &amp; SOS")</f>
        <v>3</v>
      </c>
      <c r="D6" s="1" t="s">
        <v>10</v>
      </c>
      <c r="E6" s="1">
        <f>B8</f>
        <v>7</v>
      </c>
    </row>
    <row r="7" spans="1:7">
      <c r="A7" s="2" t="s">
        <v>11</v>
      </c>
      <c r="B7" s="1">
        <f>COUNTIF(Transazioni!M2:M16, "Monitoraggio")</f>
        <v>5</v>
      </c>
    </row>
    <row r="8" spans="1:7">
      <c r="A8" s="2" t="s">
        <v>12</v>
      </c>
      <c r="B8" s="1">
        <f>COUNTIF(Transazioni!M2:M16, "Nessuna")</f>
        <v>7</v>
      </c>
    </row>
    <row r="9" spans="1:7">
      <c r="A9" s="2" t="s">
        <v>13</v>
      </c>
      <c r="B9" s="6">
        <f>(B6+B7)/B4</f>
        <v>0.53333333333333333</v>
      </c>
      <c r="G9" s="1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3E48-D0D6-40C3-83AF-D12F813BA0FE}">
  <dimension ref="A1:D6"/>
  <sheetViews>
    <sheetView workbookViewId="0">
      <selection activeCell="D4" sqref="D4"/>
    </sheetView>
  </sheetViews>
  <sheetFormatPr defaultRowHeight="15"/>
  <cols>
    <col min="1" max="1" width="13.5703125" bestFit="1" customWidth="1"/>
    <col min="3" max="3" width="20.7109375" bestFit="1" customWidth="1"/>
    <col min="4" max="4" width="6.85546875" bestFit="1" customWidth="1"/>
  </cols>
  <sheetData>
    <row r="1" spans="1:4">
      <c r="A1" t="s">
        <v>15</v>
      </c>
      <c r="C1" t="s">
        <v>16</v>
      </c>
      <c r="D1" t="s">
        <v>2</v>
      </c>
    </row>
    <row r="2" spans="1:4">
      <c r="A2" t="s">
        <v>17</v>
      </c>
      <c r="C2" t="s">
        <v>18</v>
      </c>
      <c r="D2">
        <v>10000</v>
      </c>
    </row>
    <row r="3" spans="1:4">
      <c r="A3" t="s">
        <v>19</v>
      </c>
      <c r="C3" t="s">
        <v>20</v>
      </c>
      <c r="D3">
        <v>9500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M1" sqref="M1"/>
    </sheetView>
  </sheetViews>
  <sheetFormatPr defaultRowHeight="15"/>
  <cols>
    <col min="1" max="1" width="14.7109375" style="1" bestFit="1" customWidth="1"/>
    <col min="2" max="2" width="11.42578125" style="1" bestFit="1" customWidth="1"/>
    <col min="3" max="3" width="10.140625" style="1" bestFit="1" customWidth="1"/>
    <col min="4" max="4" width="20" style="1" bestFit="1" customWidth="1"/>
    <col min="5" max="5" width="8.28515625" style="1" bestFit="1" customWidth="1"/>
    <col min="6" max="6" width="18.28515625" style="1" bestFit="1" customWidth="1"/>
    <col min="7" max="7" width="7" style="1" bestFit="1" customWidth="1"/>
    <col min="8" max="8" width="15.5703125" style="1" bestFit="1" customWidth="1"/>
    <col min="9" max="9" width="19.85546875" style="1" bestFit="1" customWidth="1"/>
    <col min="10" max="10" width="23" style="1" bestFit="1" customWidth="1"/>
    <col min="11" max="11" width="17.42578125" style="1" bestFit="1" customWidth="1"/>
    <col min="12" max="12" width="14" style="1" bestFit="1" customWidth="1"/>
    <col min="13" max="13" width="16.140625" style="1" bestFit="1" customWidth="1"/>
    <col min="14" max="16384" width="9.140625" style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s="1" t="s">
        <v>37</v>
      </c>
      <c r="B2" s="3">
        <v>45566</v>
      </c>
      <c r="C2" s="1" t="s">
        <v>38</v>
      </c>
      <c r="D2" s="1" t="s">
        <v>39</v>
      </c>
      <c r="E2" s="1">
        <v>2500</v>
      </c>
      <c r="F2" s="1" t="s">
        <v>40</v>
      </c>
      <c r="G2" s="1" t="s">
        <v>41</v>
      </c>
      <c r="H2" s="1" t="str">
        <f>IF(E2&gt;=Regole!$D$2, "ANOMALIA", "OK")</f>
        <v>OK</v>
      </c>
      <c r="I2" s="1" t="str">
        <f>IF(AND(E2&gt;=Regole!$D$3, E2&lt;Regole!$D$2), "SOSPETTO", "OK")</f>
        <v>OK</v>
      </c>
      <c r="J2" s="1" t="str">
        <f>IF(ISNUMBER(MATCH(F2, Regole!$A$2:$A$6, 0)), "ALTO RISCHIO", "OK")</f>
        <v>OK</v>
      </c>
      <c r="K2" s="1">
        <f>(IF(H2="ANOMALIA", 1, 0) + IF(I2="SOSPETTO", 2, 0) + IF(J2="ALTO RISCHIO", 3, 0))</f>
        <v>0</v>
      </c>
      <c r="L2" s="1" t="str">
        <f>IF(K2&gt;=3, "Alto", IF(K2&gt;=1, "Medio", "Basso"))</f>
        <v>Basso</v>
      </c>
      <c r="M2" s="1" t="str">
        <f>IF(L2="Alto", "Blocco &amp; SOS", IF(L2="Medio", "Monitoraggio", "Nessuna"))</f>
        <v>Nessuna</v>
      </c>
    </row>
    <row r="3" spans="1:13">
      <c r="A3" s="1" t="s">
        <v>42</v>
      </c>
      <c r="B3" s="3">
        <v>45566</v>
      </c>
      <c r="C3" s="1" t="s">
        <v>43</v>
      </c>
      <c r="D3" s="1" t="s">
        <v>44</v>
      </c>
      <c r="E3" s="1">
        <v>45</v>
      </c>
      <c r="F3" s="1" t="s">
        <v>40</v>
      </c>
      <c r="G3" s="1" t="s">
        <v>44</v>
      </c>
      <c r="H3" s="1" t="str">
        <f>IF(E3&gt;=Regole!$D$2, "ANOMALIA", "OK")</f>
        <v>OK</v>
      </c>
      <c r="I3" s="1" t="str">
        <f>IF(AND(E3&gt;=Regole!$D$3, E3&lt;Regole!$D$2), "SOSPETTO", "OK")</f>
        <v>OK</v>
      </c>
      <c r="J3" s="1" t="str">
        <f>IF(ISNUMBER(MATCH(F3, Regole!$A$2:$A$6, 0)), "ALTO RISCHIO", "OK")</f>
        <v>OK</v>
      </c>
      <c r="K3" s="1">
        <f t="shared" ref="K3:K16" si="0">(IF(H3="ANOMALIA", 1, 0) + IF(I3="SOSPETTO", 2, 0) + IF(J3="ALTO RISCHIO", 3, 0))</f>
        <v>0</v>
      </c>
      <c r="L3" s="1" t="str">
        <f t="shared" ref="L3:L16" si="1">IF(K3&gt;=3, "Alto", IF(K3&gt;=1, "Medio", "Basso"))</f>
        <v>Basso</v>
      </c>
      <c r="M3" s="1" t="str">
        <f t="shared" ref="M3:M16" si="2">IF(L3="Alto", "Blocco &amp; SOS", IF(L3="Medio", "Monitoraggio", "Nessuna"))</f>
        <v>Nessuna</v>
      </c>
    </row>
    <row r="4" spans="1:13">
      <c r="A4" s="1" t="s">
        <v>45</v>
      </c>
      <c r="B4" s="3">
        <v>45567</v>
      </c>
      <c r="C4" s="1" t="s">
        <v>46</v>
      </c>
      <c r="D4" s="1" t="s">
        <v>39</v>
      </c>
      <c r="E4" s="1">
        <v>12500</v>
      </c>
      <c r="F4" s="1" t="s">
        <v>47</v>
      </c>
      <c r="G4" s="1" t="s">
        <v>48</v>
      </c>
      <c r="H4" s="1" t="str">
        <f>IF(E4&gt;=Regole!$D$2, "ANOMALIA", "OK")</f>
        <v>ANOMALIA</v>
      </c>
      <c r="I4" s="1" t="str">
        <f>IF(AND(E4&gt;=Regole!$D$3, E4&lt;Regole!$D$2), "SOSPETTO", "OK")</f>
        <v>OK</v>
      </c>
      <c r="J4" s="1" t="str">
        <f>IF(ISNUMBER(MATCH(F4, Regole!$A$2:$A$6, 0)), "ALTO RISCHIO", "OK")</f>
        <v>OK</v>
      </c>
      <c r="K4" s="1">
        <f t="shared" si="0"/>
        <v>1</v>
      </c>
      <c r="L4" s="1" t="str">
        <f t="shared" si="1"/>
        <v>Medio</v>
      </c>
      <c r="M4" s="1" t="str">
        <f t="shared" si="2"/>
        <v>Monitoraggio</v>
      </c>
    </row>
    <row r="5" spans="1:13">
      <c r="A5" s="1" t="s">
        <v>49</v>
      </c>
      <c r="B5" s="3">
        <v>45567</v>
      </c>
      <c r="C5" s="1" t="s">
        <v>50</v>
      </c>
      <c r="D5" s="1" t="s">
        <v>51</v>
      </c>
      <c r="E5" s="1">
        <v>9800</v>
      </c>
      <c r="F5" s="1" t="s">
        <v>40</v>
      </c>
      <c r="G5" s="1" t="s">
        <v>52</v>
      </c>
      <c r="H5" s="1" t="str">
        <f>IF(E5&gt;=Regole!$D$2, "ANOMALIA", "OK")</f>
        <v>OK</v>
      </c>
      <c r="I5" s="1" t="str">
        <f>IF(AND(E5&gt;=Regole!$D$3, E5&lt;Regole!$D$2), "SOSPETTO", "OK")</f>
        <v>SOSPETTO</v>
      </c>
      <c r="J5" s="1" t="str">
        <f>IF(ISNUMBER(MATCH(F5, Regole!$A$2:$A$6, 0)), "ALTO RISCHIO", "OK")</f>
        <v>OK</v>
      </c>
      <c r="K5" s="1">
        <f t="shared" si="0"/>
        <v>2</v>
      </c>
      <c r="L5" s="1" t="str">
        <f t="shared" si="1"/>
        <v>Medio</v>
      </c>
      <c r="M5" s="1" t="str">
        <f t="shared" si="2"/>
        <v>Monitoraggio</v>
      </c>
    </row>
    <row r="6" spans="1:13">
      <c r="A6" s="1" t="s">
        <v>53</v>
      </c>
      <c r="B6" s="3">
        <v>45568</v>
      </c>
      <c r="C6" s="1" t="s">
        <v>54</v>
      </c>
      <c r="D6" s="1" t="s">
        <v>39</v>
      </c>
      <c r="E6" s="1">
        <v>4500</v>
      </c>
      <c r="F6" s="1" t="s">
        <v>23</v>
      </c>
      <c r="G6" s="1" t="s">
        <v>41</v>
      </c>
      <c r="H6" s="1" t="str">
        <f>IF(E6&gt;=Regole!$D$2, "ANOMALIA", "OK")</f>
        <v>OK</v>
      </c>
      <c r="I6" s="1" t="str">
        <f>IF(AND(E6&gt;=Regole!$D$3, E6&lt;Regole!$D$2), "SOSPETTO", "OK")</f>
        <v>OK</v>
      </c>
      <c r="J6" s="1" t="str">
        <f>IF(ISNUMBER(MATCH(F6, Regole!$A$2:$A$6, 0)), "ALTO RISCHIO", "OK")</f>
        <v>ALTO RISCHIO</v>
      </c>
      <c r="K6" s="1">
        <f t="shared" si="0"/>
        <v>3</v>
      </c>
      <c r="L6" s="1" t="str">
        <f t="shared" si="1"/>
        <v>Alto</v>
      </c>
      <c r="M6" s="1" t="str">
        <f t="shared" si="2"/>
        <v>Blocco &amp; SOS</v>
      </c>
    </row>
    <row r="7" spans="1:13">
      <c r="A7" s="1" t="s">
        <v>55</v>
      </c>
      <c r="B7" s="3">
        <v>45568</v>
      </c>
      <c r="C7" s="1" t="s">
        <v>56</v>
      </c>
      <c r="D7" s="1" t="s">
        <v>57</v>
      </c>
      <c r="E7" s="1">
        <v>250</v>
      </c>
      <c r="F7" s="1" t="s">
        <v>40</v>
      </c>
      <c r="G7" s="1" t="s">
        <v>52</v>
      </c>
      <c r="H7" s="1" t="str">
        <f>IF(E7&gt;=Regole!$D$2, "ANOMALIA", "OK")</f>
        <v>OK</v>
      </c>
      <c r="I7" s="1" t="str">
        <f>IF(AND(E7&gt;=Regole!$D$3, E7&lt;Regole!$D$2), "SOSPETTO", "OK")</f>
        <v>OK</v>
      </c>
      <c r="J7" s="1" t="str">
        <f>IF(ISNUMBER(MATCH(F7, Regole!$A$2:$A$6, 0)), "ALTO RISCHIO", "OK")</f>
        <v>OK</v>
      </c>
      <c r="K7" s="1">
        <f t="shared" si="0"/>
        <v>0</v>
      </c>
      <c r="L7" s="1" t="str">
        <f t="shared" si="1"/>
        <v>Basso</v>
      </c>
      <c r="M7" s="1" t="str">
        <f t="shared" si="2"/>
        <v>Nessuna</v>
      </c>
    </row>
    <row r="8" spans="1:13">
      <c r="A8" s="1" t="s">
        <v>58</v>
      </c>
      <c r="B8" s="3">
        <v>45569</v>
      </c>
      <c r="C8" s="1" t="s">
        <v>59</v>
      </c>
      <c r="D8" s="1" t="s">
        <v>39</v>
      </c>
      <c r="E8" s="1">
        <v>15000</v>
      </c>
      <c r="F8" s="1" t="s">
        <v>21</v>
      </c>
      <c r="G8" s="1" t="s">
        <v>41</v>
      </c>
      <c r="H8" s="1" t="str">
        <f>IF(E8&gt;=Regole!$D$2, "ANOMALIA", "OK")</f>
        <v>ANOMALIA</v>
      </c>
      <c r="I8" s="1" t="str">
        <f>IF(AND(E8&gt;=Regole!$D$3, E8&lt;Regole!$D$2), "SOSPETTO", "OK")</f>
        <v>OK</v>
      </c>
      <c r="J8" s="1" t="str">
        <f>IF(ISNUMBER(MATCH(F8, Regole!$A$2:$A$6, 0)), "ALTO RISCHIO", "OK")</f>
        <v>ALTO RISCHIO</v>
      </c>
      <c r="K8" s="1">
        <f t="shared" si="0"/>
        <v>4</v>
      </c>
      <c r="L8" s="1" t="str">
        <f t="shared" si="1"/>
        <v>Alto</v>
      </c>
      <c r="M8" s="1" t="str">
        <f t="shared" si="2"/>
        <v>Blocco &amp; SOS</v>
      </c>
    </row>
    <row r="9" spans="1:13">
      <c r="A9" s="1" t="s">
        <v>60</v>
      </c>
      <c r="B9" s="3">
        <v>45569</v>
      </c>
      <c r="C9" s="1" t="s">
        <v>61</v>
      </c>
      <c r="D9" s="1" t="s">
        <v>39</v>
      </c>
      <c r="E9" s="1">
        <v>9700</v>
      </c>
      <c r="F9" s="1" t="s">
        <v>62</v>
      </c>
      <c r="G9" s="1" t="s">
        <v>63</v>
      </c>
      <c r="H9" s="1" t="str">
        <f>IF(E9&gt;=Regole!$D$2, "ANOMALIA", "OK")</f>
        <v>OK</v>
      </c>
      <c r="I9" s="1" t="str">
        <f>IF(AND(E9&gt;=Regole!$D$3, E9&lt;Regole!$D$2), "SOSPETTO", "OK")</f>
        <v>SOSPETTO</v>
      </c>
      <c r="J9" s="1" t="str">
        <f>IF(ISNUMBER(MATCH(F9, Regole!$A$2:$A$6, 0)), "ALTO RISCHIO", "OK")</f>
        <v>OK</v>
      </c>
      <c r="K9" s="1">
        <f t="shared" si="0"/>
        <v>2</v>
      </c>
      <c r="L9" s="1" t="str">
        <f t="shared" si="1"/>
        <v>Medio</v>
      </c>
      <c r="M9" s="1" t="str">
        <f t="shared" si="2"/>
        <v>Monitoraggio</v>
      </c>
    </row>
    <row r="10" spans="1:13">
      <c r="A10" s="1" t="s">
        <v>64</v>
      </c>
      <c r="B10" s="3">
        <v>45570</v>
      </c>
      <c r="C10" s="1" t="s">
        <v>65</v>
      </c>
      <c r="D10" s="1" t="s">
        <v>44</v>
      </c>
      <c r="E10" s="1">
        <v>120</v>
      </c>
      <c r="F10" s="1" t="s">
        <v>66</v>
      </c>
      <c r="G10" s="1" t="s">
        <v>44</v>
      </c>
      <c r="H10" s="1" t="str">
        <f>IF(E10&gt;=Regole!$D$2, "ANOMALIA", "OK")</f>
        <v>OK</v>
      </c>
      <c r="I10" s="1" t="str">
        <f>IF(AND(E10&gt;=Regole!$D$3, E10&lt;Regole!$D$2), "SOSPETTO", "OK")</f>
        <v>OK</v>
      </c>
      <c r="J10" s="1" t="str">
        <f>IF(ISNUMBER(MATCH(F10, Regole!$A$2:$A$6, 0)), "ALTO RISCHIO", "OK")</f>
        <v>OK</v>
      </c>
      <c r="K10" s="1">
        <f t="shared" si="0"/>
        <v>0</v>
      </c>
      <c r="L10" s="1" t="str">
        <f t="shared" si="1"/>
        <v>Basso</v>
      </c>
      <c r="M10" s="1" t="str">
        <f t="shared" si="2"/>
        <v>Nessuna</v>
      </c>
    </row>
    <row r="11" spans="1:13">
      <c r="A11" s="1" t="s">
        <v>67</v>
      </c>
      <c r="B11" s="3">
        <v>45570</v>
      </c>
      <c r="C11" s="1" t="s">
        <v>68</v>
      </c>
      <c r="D11" s="1" t="s">
        <v>39</v>
      </c>
      <c r="E11" s="1">
        <v>3200</v>
      </c>
      <c r="F11" s="1" t="s">
        <v>40</v>
      </c>
      <c r="G11" s="1" t="s">
        <v>63</v>
      </c>
      <c r="H11" s="1" t="str">
        <f>IF(E11&gt;=Regole!$D$2, "ANOMALIA", "OK")</f>
        <v>OK</v>
      </c>
      <c r="I11" s="1" t="str">
        <f>IF(AND(E11&gt;=Regole!$D$3, E11&lt;Regole!$D$2), "SOSPETTO", "OK")</f>
        <v>OK</v>
      </c>
      <c r="J11" s="1" t="str">
        <f>IF(ISNUMBER(MATCH(F11, Regole!$A$2:$A$6, 0)), "ALTO RISCHIO", "OK")</f>
        <v>OK</v>
      </c>
      <c r="K11" s="1">
        <f t="shared" si="0"/>
        <v>0</v>
      </c>
      <c r="L11" s="1" t="str">
        <f t="shared" si="1"/>
        <v>Basso</v>
      </c>
      <c r="M11" s="1" t="str">
        <f t="shared" si="2"/>
        <v>Nessuna</v>
      </c>
    </row>
    <row r="12" spans="1:13">
      <c r="A12" s="1" t="s">
        <v>69</v>
      </c>
      <c r="B12" s="3">
        <v>45571</v>
      </c>
      <c r="C12" s="1" t="s">
        <v>70</v>
      </c>
      <c r="D12" s="1" t="s">
        <v>39</v>
      </c>
      <c r="E12" s="1">
        <v>10500</v>
      </c>
      <c r="F12" s="1" t="s">
        <v>19</v>
      </c>
      <c r="G12" s="1" t="s">
        <v>41</v>
      </c>
      <c r="H12" s="1" t="str">
        <f>IF(E12&gt;=Regole!$D$2, "ANOMALIA", "OK")</f>
        <v>ANOMALIA</v>
      </c>
      <c r="I12" s="1" t="str">
        <f>IF(AND(E12&gt;=Regole!$D$3, E12&lt;Regole!$D$2), "SOSPETTO", "OK")</f>
        <v>OK</v>
      </c>
      <c r="J12" s="1" t="str">
        <f>IF(ISNUMBER(MATCH(F12, Regole!$A$2:$A$6, 0)), "ALTO RISCHIO", "OK")</f>
        <v>ALTO RISCHIO</v>
      </c>
      <c r="K12" s="1">
        <f t="shared" si="0"/>
        <v>4</v>
      </c>
      <c r="L12" s="1" t="str">
        <f t="shared" si="1"/>
        <v>Alto</v>
      </c>
      <c r="M12" s="1" t="str">
        <f t="shared" si="2"/>
        <v>Blocco &amp; SOS</v>
      </c>
    </row>
    <row r="13" spans="1:13">
      <c r="A13" s="1" t="s">
        <v>71</v>
      </c>
      <c r="B13" s="3">
        <v>45571</v>
      </c>
      <c r="C13" s="1" t="s">
        <v>72</v>
      </c>
      <c r="D13" s="1" t="s">
        <v>51</v>
      </c>
      <c r="E13" s="1">
        <v>1500</v>
      </c>
      <c r="F13" s="1" t="s">
        <v>40</v>
      </c>
      <c r="G13" s="1" t="s">
        <v>48</v>
      </c>
      <c r="H13" s="1" t="str">
        <f>IF(E13&gt;=Regole!$D$2, "ANOMALIA", "OK")</f>
        <v>OK</v>
      </c>
      <c r="I13" s="1" t="str">
        <f>IF(AND(E13&gt;=Regole!$D$3, E13&lt;Regole!$D$2), "SOSPETTO", "OK")</f>
        <v>OK</v>
      </c>
      <c r="J13" s="1" t="str">
        <f>IF(ISNUMBER(MATCH(F13, Regole!$A$2:$A$6, 0)), "ALTO RISCHIO", "OK")</f>
        <v>OK</v>
      </c>
      <c r="K13" s="1">
        <f t="shared" si="0"/>
        <v>0</v>
      </c>
      <c r="L13" s="1" t="str">
        <f t="shared" si="1"/>
        <v>Basso</v>
      </c>
      <c r="M13" s="1" t="str">
        <f t="shared" si="2"/>
        <v>Nessuna</v>
      </c>
    </row>
    <row r="14" spans="1:13">
      <c r="A14" s="1" t="s">
        <v>73</v>
      </c>
      <c r="B14" s="3">
        <v>45572</v>
      </c>
      <c r="C14" s="1" t="s">
        <v>74</v>
      </c>
      <c r="D14" s="1" t="s">
        <v>39</v>
      </c>
      <c r="E14" s="1">
        <v>850</v>
      </c>
      <c r="F14" s="1" t="s">
        <v>75</v>
      </c>
      <c r="G14" s="1" t="s">
        <v>41</v>
      </c>
      <c r="H14" s="1" t="str">
        <f>IF(E14&gt;=Regole!$D$2, "ANOMALIA", "OK")</f>
        <v>OK</v>
      </c>
      <c r="I14" s="1" t="str">
        <f>IF(AND(E14&gt;=Regole!$D$3, E14&lt;Regole!$D$2), "SOSPETTO", "OK")</f>
        <v>OK</v>
      </c>
      <c r="J14" s="1" t="str">
        <f>IF(ISNUMBER(MATCH(F14, Regole!$A$2:$A$6, 0)), "ALTO RISCHIO", "OK")</f>
        <v>OK</v>
      </c>
      <c r="K14" s="1">
        <f t="shared" si="0"/>
        <v>0</v>
      </c>
      <c r="L14" s="1" t="str">
        <f t="shared" si="1"/>
        <v>Basso</v>
      </c>
      <c r="M14" s="1" t="str">
        <f t="shared" si="2"/>
        <v>Nessuna</v>
      </c>
    </row>
    <row r="15" spans="1:13">
      <c r="A15" s="1" t="s">
        <v>76</v>
      </c>
      <c r="B15" s="3">
        <v>45572</v>
      </c>
      <c r="C15" s="1" t="s">
        <v>77</v>
      </c>
      <c r="D15" s="1" t="s">
        <v>39</v>
      </c>
      <c r="E15" s="1">
        <v>9950</v>
      </c>
      <c r="F15" s="1" t="s">
        <v>40</v>
      </c>
      <c r="G15" s="1" t="s">
        <v>63</v>
      </c>
      <c r="H15" s="1" t="str">
        <f>IF(E15&gt;=Regole!$D$2, "ANOMALIA", "OK")</f>
        <v>OK</v>
      </c>
      <c r="I15" s="1" t="str">
        <f>IF(AND(E15&gt;=Regole!$D$3, E15&lt;Regole!$D$2), "SOSPETTO", "OK")</f>
        <v>SOSPETTO</v>
      </c>
      <c r="J15" s="1" t="str">
        <f>IF(ISNUMBER(MATCH(F15, Regole!$A$2:$A$6, 0)), "ALTO RISCHIO", "OK")</f>
        <v>OK</v>
      </c>
      <c r="K15" s="1">
        <f t="shared" si="0"/>
        <v>2</v>
      </c>
      <c r="L15" s="1" t="str">
        <f t="shared" si="1"/>
        <v>Medio</v>
      </c>
      <c r="M15" s="1" t="str">
        <f t="shared" si="2"/>
        <v>Monitoraggio</v>
      </c>
    </row>
    <row r="16" spans="1:13">
      <c r="A16" s="1" t="s">
        <v>78</v>
      </c>
      <c r="B16" s="3">
        <v>45572</v>
      </c>
      <c r="C16" s="1" t="s">
        <v>79</v>
      </c>
      <c r="D16" s="1" t="s">
        <v>39</v>
      </c>
      <c r="E16" s="1">
        <v>18000</v>
      </c>
      <c r="F16" s="1" t="s">
        <v>80</v>
      </c>
      <c r="G16" s="1" t="s">
        <v>48</v>
      </c>
      <c r="H16" s="1" t="str">
        <f>IF(E16&gt;=Regole!$D$2, "ANOMALIA", "OK")</f>
        <v>ANOMALIA</v>
      </c>
      <c r="I16" s="1" t="str">
        <f>IF(AND(E16&gt;=Regole!$D$3, E16&lt;Regole!$D$2), "SOSPETTO", "OK")</f>
        <v>OK</v>
      </c>
      <c r="J16" s="1" t="str">
        <f>IF(ISNUMBER(MATCH(F16, Regole!$A$2:$A$6, 0)), "ALTO RISCHIO", "OK")</f>
        <v>OK</v>
      </c>
      <c r="K16" s="1">
        <f t="shared" si="0"/>
        <v>1</v>
      </c>
      <c r="L16" s="1" t="str">
        <f t="shared" si="1"/>
        <v>Medio</v>
      </c>
      <c r="M16" s="1" t="str">
        <f t="shared" si="2"/>
        <v>Monitoraggio</v>
      </c>
    </row>
  </sheetData>
  <conditionalFormatting sqref="M2:M16">
    <cfRule type="containsText" dxfId="1" priority="2" operator="containsText" text="Blocco &amp; SOS">
      <formula>NOT(ISERROR(SEARCH("Blocco &amp; SOS",M2)))</formula>
    </cfRule>
  </conditionalFormatting>
  <conditionalFormatting sqref="M2:M16">
    <cfRule type="containsText" dxfId="0" priority="1" operator="containsText" text="Monitoraggio">
      <formula>NOT(ISERROR(SEARCH("Monitoraggio",M2)))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2026-10-10T12:35:58Z</dcterms:created>
  <dcterms:modified xsi:type="dcterms:W3CDTF">2026-10-10T13:53:18Z</dcterms:modified>
  <cp:category/>
  <cp:contentStatus/>
</cp:coreProperties>
</file>